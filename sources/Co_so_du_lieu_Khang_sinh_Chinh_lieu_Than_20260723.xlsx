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00" activeTab="2"/>
  </bookViews>
  <sheets>
    <sheet name="Tra cứu tự động" sheetId="1" r:id="rId1"/>
    <sheet name="Danh mục kháng sinh" sheetId="2" r:id="rId2"/>
    <sheet name="Chỉnh liều theo chức năng thận" sheetId="3" r:id="rId3"/>
    <sheet name="Hemodialysis (HD)" sheetId="4" r:id="rId4"/>
    <sheet name="Lọc máu liên tục (CRRT)" sheetId="5" r:id="rId5"/>
    <sheet name="Giám sát nồng độ thuốc (TDM)" sheetId="6" r:id="rId6"/>
    <sheet name="Tính toán Cockcroft-Gault" sheetId="7" r:id="rId7"/>
    <sheet name="Cảnh báo dược lâm sà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<sst xmlns="http://schemas.openxmlformats.org/spreadsheetml/2006/main" count="464" uniqueCount="269">
  <si>
    <t>BẢNG TRA CỨU LIỀU KHÁNG SINH TỰ ĐỘNG CHO BỆNH NHÂN SUY THẬN</t>
  </si>
  <si>
    <t>Vui lòng nhập đầy đủ thông số ở ô màu xanh để hệ thống tự động xuất khuyến cáo.</t>
  </si>
  <si>
    <t>1. NHẬP THÔNG TIN LÂM SÀNG</t>
  </si>
  <si>
    <t>Tuổi (năm):</t>
  </si>
  <si>
    <t>Giới tính (Nam/Nữ):</t>
  </si>
  <si>
    <t>Nam</t>
  </si>
  <si>
    <t>Cân nặng (kg):</t>
  </si>
  <si>
    <t>Creatinin huyết thanh (mg/dL):</t>
  </si>
  <si>
    <t>Chọn hoạt chất kháng sinh:</t>
  </si>
  <si>
    <t>Vancomycin</t>
  </si>
  <si>
    <t>2. KẾT QUẢ ĐÁNH GIÁ CHỨC NĂNG THẬN</t>
  </si>
  <si>
    <t>Độ thanh thải Creatinin (CrCl):</t>
  </si>
  <si>
    <t>mL/phút</t>
  </si>
  <si>
    <t>Mức độ suy thận (KDIGO):</t>
  </si>
  <si>
    <t>3. KHUYẾN CÁO LIỀU &amp; CẢNH BÁO DƯỢC LÂM SÀNG TỰ ĐỘNG</t>
  </si>
  <si>
    <t>Liều khuyến cáo tối ưu:</t>
  </si>
  <si>
    <t>Khoảng cách dùng thuốc (Tần suất):</t>
  </si>
  <si>
    <t>Đã bao gồm trong chi tiết liều khuyến cáo phía trên.</t>
  </si>
  <si>
    <t>Yêu cầu giám sát nồng độ (TDM):</t>
  </si>
  <si>
    <t>Nguy cơ tích lũy thuốc:</t>
  </si>
  <si>
    <t>Nguy cơ độc thận:</t>
  </si>
  <si>
    <t>Nguy cơ độc thần kinh:</t>
  </si>
  <si>
    <t>Khuyến nghị Dược lâm sàng chuyên sâu:</t>
  </si>
  <si>
    <t>HỆ THỐNG KIỂM TRA Y LỆNH KHÁNG SINH NỘI TRÚ</t>
  </si>
  <si>
    <t>DANH MỤC KHÁNG SINH CHUẨN HÓA &amp; PHÂN NHÓM CẢNH BÁO</t>
  </si>
  <si>
    <t>Tên biệt dược tham khảo</t>
  </si>
  <si>
    <t>Hoạt chất gốc</t>
  </si>
  <si>
    <t>Nhóm kháng sinh</t>
  </si>
  <si>
    <t>Mức độ ưu tiên cảnh báo</t>
  </si>
  <si>
    <t>Vancocin</t>
  </si>
  <si>
    <t>Glycopeptide</t>
  </si>
  <si>
    <t>Mức 1</t>
  </si>
  <si>
    <t>Meronem</t>
  </si>
  <si>
    <t>Meropenem</t>
  </si>
  <si>
    <t>Carbapenem</t>
  </si>
  <si>
    <t>Mức 2</t>
  </si>
  <si>
    <t>Tienam</t>
  </si>
  <si>
    <t>Imipenem/Cilastatin</t>
  </si>
  <si>
    <t>Maxipime</t>
  </si>
  <si>
    <t>Cefepime</t>
  </si>
  <si>
    <t>Cephalosporin 4th gen</t>
  </si>
  <si>
    <t>Fortum</t>
  </si>
  <si>
    <t>Ceftazidime</t>
  </si>
  <si>
    <t>Cephalosporin 3rd gen</t>
  </si>
  <si>
    <t>Zosyn</t>
  </si>
  <si>
    <t>Piperacillin/Tazobactam</t>
  </si>
  <si>
    <t>Beta-lactam/BLI</t>
  </si>
  <si>
    <t>Amikin</t>
  </si>
  <si>
    <t>Amikacin</t>
  </si>
  <si>
    <t>Aminoglycoside</t>
  </si>
  <si>
    <t>Tavanic</t>
  </si>
  <si>
    <t>Levofloxacin</t>
  </si>
  <si>
    <t>Fluoroquinolone</t>
  </si>
  <si>
    <t>Ciprobay</t>
  </si>
  <si>
    <t>Ciprofloxacin</t>
  </si>
  <si>
    <t>Colistat</t>
  </si>
  <si>
    <t>Colistin (CMS)</t>
  </si>
  <si>
    <t>Polymyxin</t>
  </si>
  <si>
    <t>Zyvox</t>
  </si>
  <si>
    <t>Linezolid</t>
  </si>
  <si>
    <t>Oxazolidinone</t>
  </si>
  <si>
    <t>Mức 3</t>
  </si>
  <si>
    <t>Flagyl</t>
  </si>
  <si>
    <t>Metronidazole</t>
  </si>
  <si>
    <t>Nitroimidazole</t>
  </si>
  <si>
    <t>HƯỚNG DẪN HIỆU CHỈNH LIỀU KHÁNG SINH THEO ĐỘ THANH THẢI CREATININ (CrCl)</t>
  </si>
  <si>
    <t>Nguồn tham khảo ưu tiên: Sanford Guide 2025 / Renal Drug Handbook 5th Ed. Đơn vị liều đã chuẩn hóa.</t>
  </si>
  <si>
    <t>Hoạt chất</t>
  </si>
  <si>
    <t>Liều chuẩn người lớn
(Chức năng thận bình thường)</t>
  </si>
  <si>
    <t>CrCl ≥50 mL/phút</t>
  </si>
  <si>
    <t>CrCl 30–49 mL/phút</t>
  </si>
  <si>
    <t>CrCl 15–29 mL/phút</t>
  </si>
  <si>
    <t>CrCl &lt;15 mL/phút
(Chưa lọc máu)</t>
  </si>
  <si>
    <t>Cần chỉnh liều?</t>
  </si>
  <si>
    <t>Yêu cầu TDM?</t>
  </si>
  <si>
    <t>Mức độ ưu tiên</t>
  </si>
  <si>
    <t>15-20 mg/kg q8-12h</t>
  </si>
  <si>
    <t>1g q12h</t>
  </si>
  <si>
    <r>
      <t xml:space="preserve">1g q24h </t>
    </r>
    <r>
      <rPr>
        <sz val="10"/>
        <color rgb="FFFF0000"/>
        <rFont val="Arial"/>
        <charset val="134"/>
      </rPr>
      <t>hoặc 15-20mg/kg mỗi 24h</t>
    </r>
  </si>
  <si>
    <t>1g q48h</t>
  </si>
  <si>
    <t>1g q72h hoặc theo TDM</t>
  </si>
  <si>
    <t>Có</t>
  </si>
  <si>
    <t>1g q8h</t>
  </si>
  <si>
    <t>500mg q12h</t>
  </si>
  <si>
    <t>500mg q24h</t>
  </si>
  <si>
    <t>Không</t>
  </si>
  <si>
    <t>500mg q6h hoặc 1g q8h</t>
  </si>
  <si>
    <t xml:space="preserve">500mg q6h </t>
  </si>
  <si>
    <t>250mg q6h hoặc 500mg q8h</t>
  </si>
  <si>
    <r>
      <t xml:space="preserve">250mg q8h </t>
    </r>
    <r>
      <rPr>
        <sz val="10"/>
        <color rgb="FFFF0000"/>
        <rFont val="Arial"/>
        <charset val="134"/>
      </rPr>
      <t>hoặc 500mg q12h</t>
    </r>
  </si>
  <si>
    <t>250mg q12h</t>
  </si>
  <si>
    <t>2g q8h</t>
  </si>
  <si>
    <t>2g q12h</t>
  </si>
  <si>
    <t>1g q12h hoặc 2g q24h</t>
  </si>
  <si>
    <t>1g q24h</t>
  </si>
  <si>
    <t>500mg q24h hoặc 500mg q48h</t>
  </si>
  <si>
    <t>4.5g q6h</t>
  </si>
  <si>
    <t>3.375g q6h</t>
  </si>
  <si>
    <t>2.25g q6h</t>
  </si>
  <si>
    <t>2.25g q8h</t>
  </si>
  <si>
    <t>15 mg/kg q24h</t>
  </si>
  <si>
    <t>7.5 mg/kg q24h hoặc kéo dài khoảng cách</t>
  </si>
  <si>
    <t>7.5 mg/kg q48h</t>
  </si>
  <si>
    <t>7.5 mg/kg q72h hoặc theo TDM</t>
  </si>
  <si>
    <t>750mg q24h</t>
  </si>
  <si>
    <r>
      <t>Khởi đầu là 750mg q24h</t>
    </r>
    <r>
      <rPr>
        <sz val="10"/>
        <color rgb="FF000000"/>
        <rFont val="Arial"/>
        <charset val="134"/>
      </rPr>
      <t>, sau đó 750mg q48h</t>
    </r>
  </si>
  <si>
    <t>500mg liều đầu, sau 250mg q48h</t>
  </si>
  <si>
    <t>400mg q8-12h IV</t>
  </si>
  <si>
    <t>400mg q12h IV</t>
  </si>
  <si>
    <t>400mg q24h IV</t>
  </si>
  <si>
    <t>9 MIU liều nạp, sau 4.5 MIU q12h</t>
  </si>
  <si>
    <t>4.5 MIU q12h</t>
  </si>
  <si>
    <t>2.5-3.5 MIU q12h</t>
  </si>
  <si>
    <t>1.5-2.5 MIU q12h</t>
  </si>
  <si>
    <t>1.0-1.5 MIU q24h</t>
  </si>
  <si>
    <t>600mg q12h</t>
  </si>
  <si>
    <t>600mg q12h (thận trọng)</t>
  </si>
  <si>
    <t>500mg q8h</t>
  </si>
  <si>
    <t>HƯỚNG DẪN LIỀU KHÁNG SINH CHO BỆNH NHÂN CHẠY THẬN NHÂN TẠO NGẮT QUÃNG (HD)</t>
  </si>
  <si>
    <t>Khuyến cáo áp dụng cho màng lọc hiệu năng cao (High-flux). Sử dụng sau khi kết thúc buổi lọc máu.</t>
  </si>
  <si>
    <t>Liều nạp (Loading Dose)</t>
  </si>
  <si>
    <t>Liều duy trì (Maintenance)</t>
  </si>
  <si>
    <t>Liều bổ sung sau lọc máu (Post-HD)</t>
  </si>
  <si>
    <t>Ghi chú lâm sàng đặc hiệu</t>
  </si>
  <si>
    <t>15-20 mg/kg</t>
  </si>
  <si>
    <t>500-1000mg định kỳ dựa trên TDM trước lọc</t>
  </si>
  <si>
    <t>Thường thêm 500mg sau HD nếu dùng chế độ liều chuẩn, tối ưu nhất là theo TDM</t>
  </si>
  <si>
    <t>Lọc máu loại bỏ khoảng 20-30% Vancomycin. Tránh quá liều gây độc thận tích lũy.</t>
  </si>
  <si>
    <t>1g</t>
  </si>
  <si>
    <t>Dùng ngay sau buổi lọc máu vào ngày chạy thận</t>
  </si>
  <si>
    <t>Bị lọc đáng kể qua màng lọc hiệu năng cao. Cần phối hợp thời điểm đưa thuốc phù hợp.</t>
  </si>
  <si>
    <t>500mg-1g</t>
  </si>
  <si>
    <t>250mg q12h hoặc q24h</t>
  </si>
  <si>
    <t>Cho liều bổ sung sau HD nếu thời điểm dùng trùng buổi lọc</t>
  </si>
  <si>
    <t>Nguy cơ co giật tăng mạnh nếu liều tích lũy cao ở bệnh nhân vô niệu.</t>
  </si>
  <si>
    <t>1-2g</t>
  </si>
  <si>
    <t>500mg-1g sau mỗi buổi chạy thận</t>
  </si>
  <si>
    <t>Cần dùng muộn sau chạy thận để đảm bảo nồng độ điều trị không bị sụt giảm.</t>
  </si>
  <si>
    <t>500mg sau mỗi buổi lọc máu</t>
  </si>
  <si>
    <t>Thải trừ mạnh qua HD. Cần bù liều đầy đủ.</t>
  </si>
  <si>
    <t>4.5g</t>
  </si>
  <si>
    <t>2.25g q8h hoặc 3.375g q12h</t>
  </si>
  <si>
    <t>0.75g bổ sung sau mỗi chu kỳ HD</t>
  </si>
  <si>
    <t>HD loại bỏ khoảng 30% piperacillin và 40% tazobactam.</t>
  </si>
  <si>
    <t>7.5-10 mg/kg</t>
  </si>
  <si>
    <t>Theo TDM trước lọc</t>
  </si>
  <si>
    <t>5-7.5 mg/kg sau mỗi buổi lọc máu</t>
  </si>
  <si>
    <t>Bị lọc mạnh qua HD, bắt buộc theo dõi TDM đỉnh đáy sát sao.</t>
  </si>
  <si>
    <t>500-750mg</t>
  </si>
  <si>
    <t>250-500mg q48h</t>
  </si>
  <si>
    <t>Không cần liều bổ sung đặc hiệu, khuyến cáo uống/truyền sau HD</t>
  </si>
  <si>
    <t>Thải trừ ít qua HD thông thường. Tránh dùng liều hàng ngày.</t>
  </si>
  <si>
    <t>400mg IV / 500mg PO</t>
  </si>
  <si>
    <t>400mg IV q24h / 500mg PO q24h</t>
  </si>
  <si>
    <t>Không cần liều bổ sung</t>
  </si>
  <si>
    <t>Thải trừ qua HD thấp (&lt;10%). Chủ yếu thải qua gan/mật.</t>
  </si>
  <si>
    <t>9 MIU</t>
  </si>
  <si>
    <t>2.25-3 MIU q24h</t>
  </si>
  <si>
    <t>Bổ sung thêm 1.5 MIU sau mỗi buổi chạy thận</t>
  </si>
  <si>
    <t>Ý kiến chuyên gia có sự khác biệt; Sanford Guide khuyên bổ sung sau HD để tránh thiếu liều.</t>
  </si>
  <si>
    <t>Nên dùng SAU buổi chạy thận vào ngày lọc máu</t>
  </si>
  <si>
    <t>Khoảng 30% liều bị loại bỏ bởi HD. Không cần chỉnh tổng liều hàng ngày.</t>
  </si>
  <si>
    <t>500mg</t>
  </si>
  <si>
    <t>500mg q12h hoặc 250mg q8h</t>
  </si>
  <si>
    <t>Dùng liều tiêu chuẩn ngay sau khi kết thúc HD</t>
  </si>
  <si>
    <t>Metronidazole và các chất chuyển hóa có hoạt tính bị loại bỏ hoàn toàn qua HD.</t>
  </si>
  <si>
    <t>HƯỚNG DẪN LIỀU KHÁNG SINH TRONG LỌC MÁU LIÊN TỤC (CRRT)</t>
  </si>
  <si>
    <t>Giả định tốc độ dòng siêu lọc/dịch thay đổi chuẩn 20-35 mL/kg/h. Cần điều chỉnh nếu tốc độ dòng rất cao.</t>
  </si>
  <si>
    <t>CVVH (Siêu lọc liên tục)</t>
  </si>
  <si>
    <t>CVVHD (Thẩm tách liên tục)</t>
  </si>
  <si>
    <t>CVVHDF (Thẩm tách siêu lọc)</t>
  </si>
  <si>
    <t>Ghi chú &amp; Khuyến cáo chuyên sâu</t>
  </si>
  <si>
    <t>1g q24h (hoặc nạp 15mg/kg, duy trì theo TDM)</t>
  </si>
  <si>
    <t>1g q24h (hoặc duy trì theo TDM)</t>
  </si>
  <si>
    <t>1-1.5g q24h hoặc truyền liên tục 20-25 mg/kg/24h</t>
  </si>
  <si>
    <t>TDM vô cùng quan trọng vì độ thanh thải qua màng CRRT rất biến động.</t>
  </si>
  <si>
    <t>1g q8h đến q12h</t>
  </si>
  <si>
    <t>Liều 1g q8h áp dụng cho nhiễm khuẩn nặng do Pseudomonas hoặc VK đề kháng.</t>
  </si>
  <si>
    <t>500mg q6h đến q8h</t>
  </si>
  <si>
    <t>Theo dõi sát nguy cơ độc thần kinh trung ương và co giật.</t>
  </si>
  <si>
    <t>2g q8h đến q12h</t>
  </si>
  <si>
    <t>Cefepime bị thải trừ rất mạnh qua CRRT. Thiếu liều gây tăng tử vong ở bệnh nhân nhiễm trùng nặng.</t>
  </si>
  <si>
    <t>1-2g q12h</t>
  </si>
  <si>
    <t>2g q12h hoặc 1g q8h</t>
  </si>
  <si>
    <t>Cần liều cao tối đa nếu đích điều trị là Pseudomonas aeruginosa.</t>
  </si>
  <si>
    <t>3.375g q8h hoặc 4.5g q8h</t>
  </si>
  <si>
    <t>3.375g q8h</t>
  </si>
  <si>
    <t>4.5g q8h hoặc truyền kéo dài 4 giờ</t>
  </si>
  <si>
    <t>Ưu tiên chế độ truyền kéo dài để tối ưu hóa thời gian fT&gt;MIC.</t>
  </si>
  <si>
    <t>7.5-10 mg/kg q24h</t>
  </si>
  <si>
    <t>10 mg/kg q24h</t>
  </si>
  <si>
    <t>Cần làm TDM thường quy để tránh độc tính tích lũy màng lọc.</t>
  </si>
  <si>
    <t>750mg q24h hoặc 500mg q24h</t>
  </si>
  <si>
    <t>Độ thanh thải qua CRRT cao hơn nhiều so với chạy thận ngắt quãng HD.</t>
  </si>
  <si>
    <t>400mg q8h đến q12h IV</t>
  </si>
  <si>
    <t>CRRT làm tăng đáng kể độ thanh thải, cần liều gần như bình thường.</t>
  </si>
  <si>
    <t>4.5 MIU q12h hoặc cao hơn</t>
  </si>
  <si>
    <t>Colistin bị hấp phụ và lọc rất lớn qua quả lọc CRRT. Cần liều cao để tránh thất bại điều trị.</t>
  </si>
  <si>
    <t>Không cần chỉnh liều so với người có chức năng thận bình thường.</t>
  </si>
  <si>
    <t>500mg q8h đến q12h</t>
  </si>
  <si>
    <t>Độ thanh thải phục hồi tốt trong CRRT, đảm bảo nồng độ diệt khuẩn.</t>
  </si>
  <si>
    <t>DANH MỤC KHÁNG SINH YÊU CẦU GIÁM SÁT NỒNG ĐỘ THUỐC TRONG HUYẾT TƯƠNG (TDM)</t>
  </si>
  <si>
    <t>Áp dụng bắt buộc cho các thuốc có khoảng điều trị hẹp và nguy cơ độc thận cao khi chức năng thận suy giảm.</t>
  </si>
  <si>
    <t>Chỉ số dược động học theo dõi</t>
  </si>
  <si>
    <t>Mục tiêu điều trị khuyến cáo</t>
  </si>
  <si>
    <t>Thời điểm lấy mẫu chuẩn</t>
  </si>
  <si>
    <t>Khuyến nghị lâm sàng của Dược sĩ</t>
  </si>
  <si>
    <t>AUC/MIC hoặc Nồng độ đáy (Trough)</t>
  </si>
  <si>
    <t>AUC/MIC = 400-600; Trough: 15-20 mcg/mL (nhiễm trùng nặng), 10-15 mcg/mL (thông thường)</t>
  </si>
  <si>
    <t>Ngay trước liều thứ 4 (trạng thái ổn định). Định lượng AUC bằng phương pháp 2 mẫu hoặc phần mềm Bayesian.</t>
  </si>
  <si>
    <t>Theo dõi mỗi 3-5 ngày. Suy thận tiến triển cần đo lại sớm hơn để tránh tổn thương thận cấp (AKI) do thuốc.</t>
  </si>
  <si>
    <t>Nồng độ đỉnh (Peak) &amp; Nồng độ đáy (Trough)</t>
  </si>
  <si>
    <t>Chế độ 1 lần/ngày: Peak 60-80 mcg/mL, Trough &lt;1-2 mcg/mL. Chế độ chia liều: Peak 20-30 mcg/mL, Trough &lt;5 mcg/mL</t>
  </si>
  <si>
    <t>Đỉnh: 30 phút sau khi kết thúc truyền tĩnh mạch 30 phút. Đáy: Ngay trước liều tiếp theo.</t>
  </si>
  <si>
    <t>Định lượng sau 2-3 liều. Nếu đáy cao, phải kéo dài khoảng cách liều. Giới hạn ngày điều trị &lt;7-10 ngày để tránh điếc và độc thận.</t>
  </si>
  <si>
    <t>CÔNG CỤ TÍNH ĐỘ THANH THẢI CREATININ (COCKCROFT-GAULT)</t>
  </si>
  <si>
    <t>Sử dụng cho đối tượng người lớn ≥18 tuổi. Lưu ý sử dụng cân nặng lý tưởng nếu bệnh nhân béo phì.</t>
  </si>
  <si>
    <t>THÔNG SỐ BỆNH NHÂN</t>
  </si>
  <si>
    <t>Tuổi (năm)</t>
  </si>
  <si>
    <t>Giới tính (Nam/Nữ)</t>
  </si>
  <si>
    <t>Cân nặng (kg)</t>
  </si>
  <si>
    <t>Creatinin huyết thanh (mg/dL)</t>
  </si>
  <si>
    <t>KẾT QUẢ TÍNH TOÁN LÂM SÀNG</t>
  </si>
  <si>
    <t>CrCl tính toán (mL/phút)</t>
  </si>
  <si>
    <t>Phân giai đoạn suy thận (KDIGO)</t>
  </si>
  <si>
    <t>BẢNG PHÂN TÍCH NGUY CƠ &amp; CẢNH BÁO DƯỢC LÂM SÀNG</t>
  </si>
  <si>
    <t>Bộ dữ liệu nền tảng tích hợp hệ thống CDSS hỗ trợ quyết định lâm sàng.</t>
  </si>
  <si>
    <t>Nguy cơ tích lũy thuốc</t>
  </si>
  <si>
    <t>Nguy cơ độc thận</t>
  </si>
  <si>
    <t>Nguy cơ độc thần kinh</t>
  </si>
  <si>
    <t>Yêu cầu TDM</t>
  </si>
  <si>
    <t>Khuyến nghị theo dõi chuyên sâu</t>
  </si>
  <si>
    <t>Rất cao khi suy thận</t>
  </si>
  <si>
    <t>Cao (tăng mạnh khi phối hợp Aminoglycoside/lợi tiểu)</t>
  </si>
  <si>
    <t>Thấp</t>
  </si>
  <si>
    <t>Bắt buộc</t>
  </si>
  <si>
    <t>Theo dõi sát TDM đáy/AUC, kiểm tra Creatinin mỗi 48h.</t>
  </si>
  <si>
    <t>Tích lũy khi liều cao</t>
  </si>
  <si>
    <t>Trung bình (nguy cơ co giật nếu không chỉnh liều)</t>
  </si>
  <si>
    <t>Không routine</t>
  </si>
  <si>
    <t>Theo dõi sát triệu chứng thần kinh trung ương ở bệnh nhân suy thận nặng.</t>
  </si>
  <si>
    <t>Tích lũy mạnh</t>
  </si>
  <si>
    <t>Cao (nguy cơ co giật lớn ở bệnh nhân suy thận)</t>
  </si>
  <si>
    <t>Hạn chế dùng khi CrCl &lt;15, thay bằng Meropenem nếu có tiền sử co giật.</t>
  </si>
  <si>
    <t>Rất cao (bệnh não do Cefepime, trạng thái động kinh)</t>
  </si>
  <si>
    <t>Giảm liều nghiêm ngặt theo CrCl, theo dõi sát tri giác.</t>
  </si>
  <si>
    <t>Tích lũy trung bình</t>
  </si>
  <si>
    <t>Thấp đến trung bình</t>
  </si>
  <si>
    <t>Theo dõi chức năng thận định kỳ.</t>
  </si>
  <si>
    <t>Thấp (tăng khi kết hợp Vancomycin)</t>
  </si>
  <si>
    <t>Thấp (co giật liều rất cao)</t>
  </si>
  <si>
    <t>Theo dõi nguy cơ tổn thương thận cấp AKI khi phối hợp Vancomycin.</t>
  </si>
  <si>
    <t>Rất cao</t>
  </si>
  <si>
    <t>Rất cao (hoại tử ống thận cấp tính)</t>
  </si>
  <si>
    <t>Độc tính thính giác và tiền đình cao</t>
  </si>
  <si>
    <t>Đo TDM đỉnh/đáy, giới hạn ngày điều trị &lt;7-10 ngày.</t>
  </si>
  <si>
    <t>Thấp đến trung bình (kích thích thần kinh, ảo giác)</t>
  </si>
  <si>
    <t>Giảm liều theo khoảng cách để tránh tích lũy.</t>
  </si>
  <si>
    <t>Tích lũy thấp</t>
  </si>
  <si>
    <t>Thấp (hiếm gặp viêm thận kẽ)</t>
  </si>
  <si>
    <t>Đảm bảo bù đủ nước cho bệnh nhân để tránh tinh thể niệu.</t>
  </si>
  <si>
    <t>Rất cao (hoại tử ống thận liên quan liều)</t>
  </si>
  <si>
    <t>Cao (dị cảm, yếu cơ, ức chế hô hấp)</t>
  </si>
  <si>
    <t>Khuyến cáo</t>
  </si>
  <si>
    <t>Theo dõi lượng nước tiểu hàng ngày và dấu hiệu yếu cơ cơ học.</t>
  </si>
  <si>
    <t>Thấp (tích lũy chất chuyển hóa)</t>
  </si>
  <si>
    <t>Thấp (nguy cơ thần kinh ngoại biên khi dùng &gt;28 ngày)</t>
  </si>
  <si>
    <t>Theo dõi công thức máu chu kỳ (nguy cơ giảm tiểu cầu khi dùng &gt;14 ngày).</t>
  </si>
  <si>
    <t>Theo dõi các dấu hiệu thần kinh ngoại biên nếu điều trị kéo dài.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</si>
</sst>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1">
    <font>
      <sz val="11"/>
      <color theme="1"/>
      <name val="Calibri"/>
      <charset val="134"/>
      <scheme val="minor"/>
    </font>
    <font>
      <b/>
      <sz val="16"/>
      <color rgb="FF1B365D"/>
      <name val="Arial"/>
      <charset val="134"/>
    </font>
    <font>
      <i/>
      <sz val="9"/>
      <color rgb="FF555555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78281F"/>
      <name val="Arial"/>
      <charset val="134"/>
    </font>
    <font>
      <b/>
      <sz val="10"/>
      <color rgb="FF7E5109"/>
      <name val="Arial"/>
      <charset val="134"/>
    </font>
    <font>
      <b/>
      <sz val="10"/>
      <color rgb="FF145A32"/>
      <name val="Arial"/>
      <charset val="134"/>
    </font>
    <font>
      <b/>
      <sz val="12"/>
      <color rgb="FF1B365D"/>
      <name val="Arial"/>
      <charset val="134"/>
    </font>
    <font>
      <b/>
      <sz val="10"/>
      <color rgb="FF000000"/>
      <name val="Arial"/>
      <charset val="134"/>
    </font>
    <font>
      <b/>
      <sz val="11"/>
      <color rgb="FF1B365D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  <fill>
      <patternFill patternType="solid">
        <fgColor rgb="FFF4F7FA"/>
        <bgColor rgb="FFF4F7FA"/>
      </patternFill>
    </fill>
    <fill>
      <patternFill patternType="solid">
        <fgColor rgb="FFFDEBD0"/>
        <bgColor rgb="FFFDEBD0"/>
      </patternFill>
    </fill>
    <fill>
      <patternFill patternType="solid">
        <fgColor rgb="FFD4EFDF"/>
        <bgColor rgb="FFD4EFDF"/>
      </patternFill>
    </fill>
    <fill>
      <patternFill patternType="solid">
        <fgColor rgb="FFEAECEE"/>
        <bgColor rgb="FFEAECEE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4F7FA"/>
      </patternFill>
    </fill>
    <fill>
      <patternFill patternType="solid">
        <fgColor theme="0"/>
        <bgColor rgb="FFF4F7FA"/>
      </patternFill>
    </fill>
    <fill>
      <patternFill patternType="solid">
        <fgColor rgb="FFE8F8F5"/>
        <bgColor rgb="FFE8F8F5"/>
      </patternFill>
    </fill>
    <fill>
      <patternFill patternType="solid">
        <fgColor rgb="FFFCF3CF"/>
        <bgColor rgb="FFFCF3CF"/>
      </patternFill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medium">
        <color rgb="FF16A085"/>
      </left>
      <right style="medium">
        <color rgb="FF16A085"/>
      </right>
      <top style="medium">
        <color rgb="FF16A085"/>
      </top>
      <bottom style="medium">
        <color rgb="FF16A0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22" fillId="18" borderId="6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0" borderId="0" xfId="0" applyFont="1"/>
    <xf numFmtId="0" fontId="9" fillId="12" borderId="2" xfId="0" applyFont="1" applyFill="1" applyBorder="1" applyAlignment="1">
      <alignment horizontal="center" vertical="center" wrapText="1"/>
    </xf>
    <xf numFmtId="0" fontId="9" fillId="13" borderId="1" xfId="0" applyFont="1" applyFill="1" applyBorder="1"/>
    <xf numFmtId="0" fontId="9" fillId="14" borderId="1" xfId="0" applyFont="1" applyFill="1" applyBorder="1"/>
    <xf numFmtId="0" fontId="4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E10" sqref="E10"/>
    </sheetView>
  </sheetViews>
  <sheetFormatPr defaultColWidth="9" defaultRowHeight="15" outlineLevelCol="2"/>
  <cols>
    <col min="1" max="1" width="35" customWidth="1"/>
    <col min="2" max="2" width="75" customWidth="1"/>
  </cols>
  <sheetData>
    <row r="1" ht="20.25" spans="1:3">
      <c r="A1" s="1" t="s">
        <v>0</v>
      </c>
    </row>
    <row r="2" spans="1:3">
      <c r="A2" s="2" t="s">
        <v>1</v>
      </c>
    </row>
    <row r="4" ht="16.5" spans="1:3">
      <c r="A4" s="11" t="s">
        <v>2</v>
      </c>
    </row>
    <row r="5" ht="15.75" spans="1:3">
      <c r="A5" s="20" t="s">
        <v>3</v>
      </c>
      <c r="B5" s="21">
        <v>0</v>
      </c>
    </row>
    <row r="6" ht="15.75" spans="1:3">
      <c r="A6" s="20" t="s">
        <v>4</v>
      </c>
      <c r="B6" s="21" t="s">
        <v>5</v>
      </c>
    </row>
    <row r="7" ht="15.75" spans="1:3">
      <c r="A7" s="20" t="s">
        <v>6</v>
      </c>
      <c r="B7" s="21">
        <v>0</v>
      </c>
    </row>
    <row r="8" ht="15.75" spans="1:3">
      <c r="A8" s="20" t="s">
        <v>7</v>
      </c>
      <c r="B8" s="21">
        <v>0</v>
      </c>
    </row>
    <row r="9" ht="15.75" spans="1:3">
      <c r="A9" s="20" t="s">
        <v>8</v>
      </c>
      <c r="B9" s="21" t="s">
        <v>9</v>
      </c>
    </row>
    <row r="11" ht="15.75" spans="1:3">
      <c r="A11" s="11" t="s">
        <v>10</v>
      </c>
    </row>
    <row r="12" spans="1:3">
      <c r="A12" s="12" t="s">
        <v>11</v>
      </c>
      <c r="B12" s="22" t="e">
        <f>ROUND(IF(B6="Nam",((140-B5)*B7)/(72*B8),((140-B5)*B7)/(72*B8)*0.85),1)</f>
        <v>#DIV/0!</v>
      </c>
      <c r="C12" s="2" t="s">
        <v>12</v>
      </c>
    </row>
    <row r="13" spans="1:3">
      <c r="A13" s="12" t="s">
        <v>13</v>
      </c>
      <c r="B13" s="22" t="e">
        <f>IF(B12&gt;=90,"G1 - Bình thường hoặc cao",IF(B12&gt;=60,"G2 - Giảm nhẹ",IF(B12&gt;=30,"G3 - Giảm vừa đến nặng",IF(B12&gt;=15,"G4 - Giảm nặng","G5 - Suy thận giai đoạn cuối"))))</f>
        <v>#DIV/0!</v>
      </c>
    </row>
    <row r="15" ht="15.75" spans="1:3">
      <c r="A15" s="11" t="s">
        <v>14</v>
      </c>
    </row>
    <row r="16" spans="1:3">
      <c r="A16" s="23" t="s">
        <v>15</v>
      </c>
      <c r="B16" s="24" t="e">
        <f>IF(B12&gt;=50,INDEX('Chỉnh liều theo chức năng thận'!$D$5:$D$16,MATCH(B9,'Chỉnh liều theo chức năng thận'!$A$5:$A$16,0)),IF(B12&gt;=30,INDEX('Chỉnh liều theo chức năng thận'!$E$5:$E$16,MATCH(B9,'Chỉnh liều theo chức năng thận'!$A$5:$A$16,0)),IF(B12&gt;=15,INDEX('Chỉnh liều theo chức năng thận'!$F$5:$F$16,MATCH(B9,'Chỉnh liều theo chức năng thận'!$A$5:$A$16,0)),INDEX('Chỉnh liều theo chức năng thận'!$G$5:$G$16,MATCH(B9,'Chỉnh liều theo chức năng thận'!$A$5:$A$16,0)))))</f>
        <v>#DIV/0!</v>
      </c>
    </row>
    <row r="17" spans="1:2">
      <c r="A17" s="23" t="s">
        <v>16</v>
      </c>
      <c r="B17" s="25" t="s">
        <v>17</v>
      </c>
    </row>
    <row r="18" spans="1:2">
      <c r="A18" s="23" t="s">
        <v>18</v>
      </c>
      <c r="B18" s="25" t="str">
        <f>INDEX('Chỉnh liều theo chức năng thận'!$I$5:$I$16,MATCH(B9,'Chỉnh liều theo chức năng thận'!$A$5:$A$16,0))</f>
        <v>Có</v>
      </c>
    </row>
    <row r="19" spans="1:2">
      <c r="A19" s="23" t="s">
        <v>19</v>
      </c>
      <c r="B19" s="25" t="str">
        <f>INDEX('Cảnh báo dược lâm sàng'!$B$5:$B$16,MATCH(B9,'Cảnh báo dược lâm sàng'!$A$5:$A$16,0))</f>
        <v>Rất cao khi suy thận</v>
      </c>
    </row>
    <row r="20" spans="1:2">
      <c r="A20" s="23" t="s">
        <v>20</v>
      </c>
      <c r="B20" s="25" t="str">
        <f>INDEX('Cảnh báo dược lâm sàng'!$C$5:$C$16,MATCH(B9,'Cảnh báo dược lâm sàng'!$A$5:$A$16,0))</f>
        <v>Cao (tăng mạnh khi phối hợp Aminoglycoside/lợi tiểu)</v>
      </c>
    </row>
    <row r="21" spans="1:2">
      <c r="A21" s="23" t="s">
        <v>21</v>
      </c>
      <c r="B21" s="25" t="str">
        <f>INDEX('Cảnh báo dược lâm sàng'!$D$5:$D$16,MATCH(B9,'Cảnh báo dược lâm sàng'!$A$5:$A$16,0))</f>
        <v>Thấp</v>
      </c>
    </row>
    <row r="22" spans="1:2">
      <c r="A22" s="23" t="s">
        <v>22</v>
      </c>
      <c r="B22" s="24" t="str">
        <f>INDEX('Cảnh báo dược lâm sàng'!$G$5:$G$16,MATCH(B9,'Cảnh báo dược lâm sàng'!$A$5:$A$16,0))</f>
        <v>Theo dõi sát TDM đáy/AUC, kiểm tra Creatinin mỗi 48h.</v>
      </c>
    </row>
  </sheetData>
  <dataValidations count="2">
    <dataValidation type="list" allowBlank="1" sqref="B6">
      <formula1>"Nam,Nữ"</formula1>
    </dataValidation>
    <dataValidation type="list" allowBlank="1" sqref="B9">
      <formula1>'Chỉnh liều theo chức năng thận'!$A$5:$A$16</formula1>
    </dataValidation>
  </dataValidations>
  <pageMargins left="0.75" right="0.75" top="1" bottom="1" header="0.5" footer="0.5"/>
  <headerFooter/>
  <ignoredErrors>
    <ignoredError sqref="A1:C2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35" sqref="B35"/>
    </sheetView>
  </sheetViews>
  <sheetFormatPr defaultColWidth="9" defaultRowHeight="15" outlineLevelCol="3"/>
  <cols>
    <col min="1" max="1" width="54" customWidth="1"/>
    <col min="2" max="2" width="27" customWidth="1"/>
    <col min="3" max="3" width="25" customWidth="1"/>
    <col min="4" max="4" width="27" customWidth="1"/>
  </cols>
  <sheetData>
    <row r="1" ht="20.25" spans="1:4">
      <c r="A1" s="1" t="s">
        <v>23</v>
      </c>
    </row>
    <row r="2" spans="1:4">
      <c r="A2" s="2" t="s">
        <v>24</v>
      </c>
    </row>
    <row r="4" ht="28" customHeight="1" spans="1:4">
      <c r="A4" s="3" t="s">
        <v>25</v>
      </c>
      <c r="B4" s="3" t="s">
        <v>26</v>
      </c>
      <c r="C4" s="3" t="s">
        <v>27</v>
      </c>
      <c r="D4" s="3" t="s">
        <v>28</v>
      </c>
    </row>
    <row r="5" spans="1:4">
      <c r="A5" s="4" t="s">
        <v>29</v>
      </c>
      <c r="B5" s="4" t="s">
        <v>9</v>
      </c>
      <c r="C5" s="4" t="s">
        <v>30</v>
      </c>
      <c r="D5" s="6" t="s">
        <v>31</v>
      </c>
    </row>
    <row r="6" spans="1:4">
      <c r="A6" s="7" t="s">
        <v>32</v>
      </c>
      <c r="B6" s="7" t="s">
        <v>33</v>
      </c>
      <c r="C6" s="7" t="s">
        <v>34</v>
      </c>
      <c r="D6" s="9" t="s">
        <v>35</v>
      </c>
    </row>
    <row r="7" spans="1:4">
      <c r="A7" s="4" t="s">
        <v>36</v>
      </c>
      <c r="B7" s="4" t="s">
        <v>37</v>
      </c>
      <c r="C7" s="4" t="s">
        <v>34</v>
      </c>
      <c r="D7" s="6" t="s">
        <v>31</v>
      </c>
    </row>
    <row r="8" spans="1:4">
      <c r="A8" s="7" t="s">
        <v>38</v>
      </c>
      <c r="B8" s="7" t="s">
        <v>39</v>
      </c>
      <c r="C8" s="7" t="s">
        <v>40</v>
      </c>
      <c r="D8" s="6" t="s">
        <v>31</v>
      </c>
    </row>
    <row r="9" spans="1:4">
      <c r="A9" s="4" t="s">
        <v>41</v>
      </c>
      <c r="B9" s="4" t="s">
        <v>42</v>
      </c>
      <c r="C9" s="4" t="s">
        <v>43</v>
      </c>
      <c r="D9" s="9" t="s">
        <v>35</v>
      </c>
    </row>
    <row r="10" spans="1:4">
      <c r="A10" s="7" t="s">
        <v>44</v>
      </c>
      <c r="B10" s="7" t="s">
        <v>45</v>
      </c>
      <c r="C10" s="7" t="s">
        <v>46</v>
      </c>
      <c r="D10" s="9" t="s">
        <v>35</v>
      </c>
    </row>
    <row r="11" spans="1:4">
      <c r="A11" s="4" t="s">
        <v>47</v>
      </c>
      <c r="B11" s="4" t="s">
        <v>48</v>
      </c>
      <c r="C11" s="4" t="s">
        <v>49</v>
      </c>
      <c r="D11" s="6" t="s">
        <v>31</v>
      </c>
    </row>
    <row r="12" spans="1:4">
      <c r="A12" s="7" t="s">
        <v>50</v>
      </c>
      <c r="B12" s="7" t="s">
        <v>51</v>
      </c>
      <c r="C12" s="7" t="s">
        <v>52</v>
      </c>
      <c r="D12" s="9" t="s">
        <v>35</v>
      </c>
    </row>
    <row r="13" spans="1:4">
      <c r="A13" s="4" t="s">
        <v>53</v>
      </c>
      <c r="B13" s="4" t="s">
        <v>54</v>
      </c>
      <c r="C13" s="4" t="s">
        <v>52</v>
      </c>
      <c r="D13" s="9" t="s">
        <v>35</v>
      </c>
    </row>
    <row r="14" spans="1:4">
      <c r="A14" s="7" t="s">
        <v>55</v>
      </c>
      <c r="B14" s="7" t="s">
        <v>56</v>
      </c>
      <c r="C14" s="7" t="s">
        <v>57</v>
      </c>
      <c r="D14" s="6" t="s">
        <v>31</v>
      </c>
    </row>
    <row r="15" spans="1:4">
      <c r="A15" s="4" t="s">
        <v>58</v>
      </c>
      <c r="B15" s="4" t="s">
        <v>59</v>
      </c>
      <c r="C15" s="4" t="s">
        <v>60</v>
      </c>
      <c r="D15" s="10" t="s">
        <v>61</v>
      </c>
    </row>
    <row r="16" spans="1:4">
      <c r="A16" s="7" t="s">
        <v>62</v>
      </c>
      <c r="B16" s="7" t="s">
        <v>63</v>
      </c>
      <c r="C16" s="7" t="s">
        <v>64</v>
      </c>
      <c r="D16" s="10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G16" sqref="G16"/>
    </sheetView>
  </sheetViews>
  <sheetFormatPr defaultColWidth="9" defaultRowHeight="15"/>
  <cols>
    <col min="1" max="1" width="30.4285714285714" customWidth="1"/>
    <col min="2" max="2" width="25" customWidth="1"/>
    <col min="3" max="3" width="36" customWidth="1"/>
    <col min="4" max="4" width="20" customWidth="1"/>
    <col min="5" max="5" width="43" customWidth="1"/>
    <col min="6" max="7" width="34" customWidth="1"/>
    <col min="8" max="8" width="19" customWidth="1"/>
    <col min="9" max="9" width="16" customWidth="1"/>
    <col min="10" max="10" width="18" customWidth="1"/>
  </cols>
  <sheetData>
    <row r="1" ht="20.25" spans="1:10">
      <c r="A1" s="1" t="s">
        <v>65</v>
      </c>
    </row>
    <row r="2" spans="1:10">
      <c r="A2" s="2" t="s">
        <v>66</v>
      </c>
    </row>
    <row r="4" ht="35" customHeight="1" spans="1:10">
      <c r="A4" s="3" t="s">
        <v>67</v>
      </c>
      <c r="B4" s="3" t="s">
        <v>27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</row>
    <row r="5" spans="1:10">
      <c r="A5" s="4" t="s">
        <v>9</v>
      </c>
      <c r="B5" s="4" t="s">
        <v>30</v>
      </c>
      <c r="C5" s="16" t="s">
        <v>76</v>
      </c>
      <c r="D5" s="4" t="s">
        <v>77</v>
      </c>
      <c r="E5" s="4" t="s">
        <v>78</v>
      </c>
      <c r="F5" s="4" t="s">
        <v>79</v>
      </c>
      <c r="G5" s="4" t="s">
        <v>80</v>
      </c>
      <c r="H5" s="5" t="s">
        <v>81</v>
      </c>
      <c r="I5" s="5" t="s">
        <v>81</v>
      </c>
      <c r="J5" s="6" t="s">
        <v>31</v>
      </c>
    </row>
    <row r="6" spans="1:10">
      <c r="A6" s="7" t="s">
        <v>33</v>
      </c>
      <c r="B6" s="7" t="s">
        <v>34</v>
      </c>
      <c r="C6" s="17" t="s">
        <v>82</v>
      </c>
      <c r="D6" s="17" t="s">
        <v>82</v>
      </c>
      <c r="E6" s="17" t="s">
        <v>77</v>
      </c>
      <c r="F6" s="17" t="s">
        <v>83</v>
      </c>
      <c r="G6" s="17" t="s">
        <v>84</v>
      </c>
      <c r="H6" s="8" t="s">
        <v>81</v>
      </c>
      <c r="I6" s="8" t="s">
        <v>85</v>
      </c>
      <c r="J6" s="9" t="s">
        <v>35</v>
      </c>
    </row>
    <row r="7" spans="1:10">
      <c r="A7" s="4" t="s">
        <v>37</v>
      </c>
      <c r="B7" s="4" t="s">
        <v>34</v>
      </c>
      <c r="C7" s="16" t="s">
        <v>86</v>
      </c>
      <c r="D7" s="16" t="s">
        <v>87</v>
      </c>
      <c r="E7" s="16" t="s">
        <v>88</v>
      </c>
      <c r="F7" s="4" t="s">
        <v>89</v>
      </c>
      <c r="G7" s="4" t="s">
        <v>90</v>
      </c>
      <c r="H7" s="5" t="s">
        <v>81</v>
      </c>
      <c r="I7" s="5" t="s">
        <v>85</v>
      </c>
      <c r="J7" s="6" t="s">
        <v>31</v>
      </c>
    </row>
    <row r="8" spans="1:10">
      <c r="A8" s="7" t="s">
        <v>39</v>
      </c>
      <c r="B8" s="7" t="s">
        <v>40</v>
      </c>
      <c r="C8" s="17" t="s">
        <v>91</v>
      </c>
      <c r="D8" s="17" t="s">
        <v>91</v>
      </c>
      <c r="E8" s="17" t="s">
        <v>92</v>
      </c>
      <c r="F8" s="17" t="s">
        <v>93</v>
      </c>
      <c r="G8" s="17" t="s">
        <v>94</v>
      </c>
      <c r="H8" s="8" t="s">
        <v>81</v>
      </c>
      <c r="I8" s="8" t="s">
        <v>85</v>
      </c>
      <c r="J8" s="6" t="s">
        <v>31</v>
      </c>
    </row>
    <row r="9" spans="1:10">
      <c r="A9" s="4" t="s">
        <v>42</v>
      </c>
      <c r="B9" s="4" t="s">
        <v>43</v>
      </c>
      <c r="C9" s="16" t="s">
        <v>91</v>
      </c>
      <c r="D9" s="16" t="s">
        <v>91</v>
      </c>
      <c r="E9" s="16" t="s">
        <v>77</v>
      </c>
      <c r="F9" s="16" t="s">
        <v>94</v>
      </c>
      <c r="G9" s="16" t="s">
        <v>95</v>
      </c>
      <c r="H9" s="5" t="s">
        <v>81</v>
      </c>
      <c r="I9" s="5" t="s">
        <v>85</v>
      </c>
      <c r="J9" s="9" t="s">
        <v>35</v>
      </c>
    </row>
    <row r="10" spans="1:10">
      <c r="A10" s="7" t="s">
        <v>45</v>
      </c>
      <c r="B10" s="7" t="s">
        <v>46</v>
      </c>
      <c r="C10" s="17" t="s">
        <v>96</v>
      </c>
      <c r="D10" s="17" t="s">
        <v>96</v>
      </c>
      <c r="E10" s="17" t="s">
        <v>97</v>
      </c>
      <c r="F10" s="18" t="s">
        <v>98</v>
      </c>
      <c r="G10" s="18" t="s">
        <v>99</v>
      </c>
      <c r="H10" s="8" t="s">
        <v>81</v>
      </c>
      <c r="I10" s="8" t="s">
        <v>85</v>
      </c>
      <c r="J10" s="9" t="s">
        <v>35</v>
      </c>
    </row>
    <row r="11" spans="1:10">
      <c r="A11" s="4" t="s">
        <v>48</v>
      </c>
      <c r="B11" s="4" t="s">
        <v>49</v>
      </c>
      <c r="C11" s="16" t="s">
        <v>100</v>
      </c>
      <c r="D11" s="4" t="s">
        <v>100</v>
      </c>
      <c r="E11" s="4" t="s">
        <v>101</v>
      </c>
      <c r="F11" s="4" t="s">
        <v>102</v>
      </c>
      <c r="G11" s="4" t="s">
        <v>103</v>
      </c>
      <c r="H11" s="5" t="s">
        <v>81</v>
      </c>
      <c r="I11" s="5" t="s">
        <v>81</v>
      </c>
      <c r="J11" s="6" t="s">
        <v>31</v>
      </c>
    </row>
    <row r="12" spans="1:10">
      <c r="A12" s="7" t="s">
        <v>51</v>
      </c>
      <c r="B12" s="7" t="s">
        <v>52</v>
      </c>
      <c r="C12" s="17" t="s">
        <v>104</v>
      </c>
      <c r="D12" s="17" t="s">
        <v>104</v>
      </c>
      <c r="E12" s="19" t="s">
        <v>105</v>
      </c>
      <c r="F12" s="7" t="s">
        <v>106</v>
      </c>
      <c r="G12" s="7" t="s">
        <v>106</v>
      </c>
      <c r="H12" s="8" t="s">
        <v>81</v>
      </c>
      <c r="I12" s="8" t="s">
        <v>85</v>
      </c>
      <c r="J12" s="9" t="s">
        <v>35</v>
      </c>
    </row>
    <row r="13" spans="1:10">
      <c r="A13" s="4" t="s">
        <v>54</v>
      </c>
      <c r="B13" s="4" t="s">
        <v>52</v>
      </c>
      <c r="C13" s="16" t="s">
        <v>107</v>
      </c>
      <c r="D13" s="16" t="s">
        <v>108</v>
      </c>
      <c r="E13" s="16" t="s">
        <v>108</v>
      </c>
      <c r="F13" s="16" t="s">
        <v>109</v>
      </c>
      <c r="G13" s="4" t="s">
        <v>109</v>
      </c>
      <c r="H13" s="5" t="s">
        <v>81</v>
      </c>
      <c r="I13" s="5" t="s">
        <v>85</v>
      </c>
      <c r="J13" s="9" t="s">
        <v>35</v>
      </c>
    </row>
    <row r="14" spans="1:10">
      <c r="A14" s="7" t="s">
        <v>56</v>
      </c>
      <c r="B14" s="7" t="s">
        <v>57</v>
      </c>
      <c r="C14" s="17" t="s">
        <v>110</v>
      </c>
      <c r="D14" s="17" t="s">
        <v>111</v>
      </c>
      <c r="E14" s="17" t="s">
        <v>112</v>
      </c>
      <c r="F14" s="17" t="s">
        <v>113</v>
      </c>
      <c r="G14" s="7" t="s">
        <v>114</v>
      </c>
      <c r="H14" s="8" t="s">
        <v>81</v>
      </c>
      <c r="I14" s="8" t="s">
        <v>85</v>
      </c>
      <c r="J14" s="6" t="s">
        <v>31</v>
      </c>
    </row>
    <row r="15" spans="1:10">
      <c r="A15" s="4" t="s">
        <v>59</v>
      </c>
      <c r="B15" s="4" t="s">
        <v>60</v>
      </c>
      <c r="C15" s="4" t="s">
        <v>115</v>
      </c>
      <c r="D15" s="4" t="s">
        <v>115</v>
      </c>
      <c r="E15" s="4" t="s">
        <v>115</v>
      </c>
      <c r="F15" s="4" t="s">
        <v>115</v>
      </c>
      <c r="G15" s="4" t="s">
        <v>116</v>
      </c>
      <c r="H15" s="5" t="s">
        <v>85</v>
      </c>
      <c r="I15" s="5" t="s">
        <v>85</v>
      </c>
      <c r="J15" s="10" t="s">
        <v>61</v>
      </c>
    </row>
    <row r="16" spans="1:10">
      <c r="A16" s="7" t="s">
        <v>63</v>
      </c>
      <c r="B16" s="7" t="s">
        <v>64</v>
      </c>
      <c r="C16" s="7" t="s">
        <v>117</v>
      </c>
      <c r="D16" s="7" t="s">
        <v>117</v>
      </c>
      <c r="E16" s="7" t="s">
        <v>117</v>
      </c>
      <c r="F16" s="7" t="s">
        <v>117</v>
      </c>
      <c r="G16" s="7" t="s">
        <v>83</v>
      </c>
      <c r="H16" s="5" t="s">
        <v>85</v>
      </c>
      <c r="I16" s="8" t="s">
        <v>85</v>
      </c>
      <c r="J16" s="10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5" outlineLevelCol="4"/>
  <cols>
    <col min="1" max="1" width="101" customWidth="1"/>
    <col min="2" max="2" width="27" customWidth="1"/>
    <col min="3" max="3" width="45" customWidth="1"/>
    <col min="4" max="4" width="80" customWidth="1"/>
    <col min="5" max="5" width="95" customWidth="1"/>
  </cols>
  <sheetData>
    <row r="1" ht="20.25" spans="1:5">
      <c r="A1" s="1" t="s">
        <v>118</v>
      </c>
    </row>
    <row r="2" spans="1:5">
      <c r="A2" s="2" t="s">
        <v>119</v>
      </c>
    </row>
    <row r="4" ht="28" customHeight="1" spans="1:5">
      <c r="A4" s="3" t="s">
        <v>67</v>
      </c>
      <c r="B4" s="3" t="s">
        <v>120</v>
      </c>
      <c r="C4" s="3" t="s">
        <v>121</v>
      </c>
      <c r="D4" s="3" t="s">
        <v>122</v>
      </c>
      <c r="E4" s="3" t="s">
        <v>123</v>
      </c>
    </row>
    <row r="5" spans="1:5">
      <c r="A5" s="4" t="s">
        <v>9</v>
      </c>
      <c r="B5" s="4" t="s">
        <v>124</v>
      </c>
      <c r="C5" s="4" t="s">
        <v>125</v>
      </c>
      <c r="D5" s="4" t="s">
        <v>126</v>
      </c>
      <c r="E5" s="4" t="s">
        <v>127</v>
      </c>
    </row>
    <row r="6" spans="1:5">
      <c r="A6" s="7" t="s">
        <v>33</v>
      </c>
      <c r="B6" s="7" t="s">
        <v>128</v>
      </c>
      <c r="C6" s="7" t="s">
        <v>84</v>
      </c>
      <c r="D6" s="7" t="s">
        <v>129</v>
      </c>
      <c r="E6" s="7" t="s">
        <v>130</v>
      </c>
    </row>
    <row r="7" spans="1:5">
      <c r="A7" s="4" t="s">
        <v>37</v>
      </c>
      <c r="B7" s="4" t="s">
        <v>131</v>
      </c>
      <c r="C7" s="4" t="s">
        <v>132</v>
      </c>
      <c r="D7" s="4" t="s">
        <v>133</v>
      </c>
      <c r="E7" s="4" t="s">
        <v>134</v>
      </c>
    </row>
    <row r="8" spans="1:5">
      <c r="A8" s="7" t="s">
        <v>39</v>
      </c>
      <c r="B8" s="7" t="s">
        <v>135</v>
      </c>
      <c r="C8" s="7" t="s">
        <v>94</v>
      </c>
      <c r="D8" s="7" t="s">
        <v>136</v>
      </c>
      <c r="E8" s="7" t="s">
        <v>137</v>
      </c>
    </row>
    <row r="9" spans="1:5">
      <c r="A9" s="4" t="s">
        <v>42</v>
      </c>
      <c r="B9" s="4" t="s">
        <v>128</v>
      </c>
      <c r="C9" s="4" t="s">
        <v>84</v>
      </c>
      <c r="D9" s="4" t="s">
        <v>138</v>
      </c>
      <c r="E9" s="4" t="s">
        <v>139</v>
      </c>
    </row>
    <row r="10" spans="1:5">
      <c r="A10" s="7" t="s">
        <v>45</v>
      </c>
      <c r="B10" s="7" t="s">
        <v>140</v>
      </c>
      <c r="C10" s="7" t="s">
        <v>141</v>
      </c>
      <c r="D10" s="7" t="s">
        <v>142</v>
      </c>
      <c r="E10" s="7" t="s">
        <v>143</v>
      </c>
    </row>
    <row r="11" spans="1:5">
      <c r="A11" s="4" t="s">
        <v>48</v>
      </c>
      <c r="B11" s="4" t="s">
        <v>144</v>
      </c>
      <c r="C11" s="4" t="s">
        <v>145</v>
      </c>
      <c r="D11" s="4" t="s">
        <v>146</v>
      </c>
      <c r="E11" s="4" t="s">
        <v>147</v>
      </c>
    </row>
    <row r="12" spans="1:5">
      <c r="A12" s="7" t="s">
        <v>51</v>
      </c>
      <c r="B12" s="7" t="s">
        <v>148</v>
      </c>
      <c r="C12" s="7" t="s">
        <v>149</v>
      </c>
      <c r="D12" s="7" t="s">
        <v>150</v>
      </c>
      <c r="E12" s="7" t="s">
        <v>151</v>
      </c>
    </row>
    <row r="13" spans="1:5">
      <c r="A13" s="4" t="s">
        <v>54</v>
      </c>
      <c r="B13" s="4" t="s">
        <v>152</v>
      </c>
      <c r="C13" s="4" t="s">
        <v>153</v>
      </c>
      <c r="D13" s="4" t="s">
        <v>154</v>
      </c>
      <c r="E13" s="4" t="s">
        <v>155</v>
      </c>
    </row>
    <row r="14" spans="1:5">
      <c r="A14" s="7" t="s">
        <v>56</v>
      </c>
      <c r="B14" s="7" t="s">
        <v>156</v>
      </c>
      <c r="C14" s="7" t="s">
        <v>157</v>
      </c>
      <c r="D14" s="7" t="s">
        <v>158</v>
      </c>
      <c r="E14" s="7" t="s">
        <v>159</v>
      </c>
    </row>
    <row r="15" spans="1:5">
      <c r="A15" s="4" t="s">
        <v>59</v>
      </c>
      <c r="B15" s="4" t="s">
        <v>115</v>
      </c>
      <c r="C15" s="4" t="s">
        <v>115</v>
      </c>
      <c r="D15" s="4" t="s">
        <v>160</v>
      </c>
      <c r="E15" s="4" t="s">
        <v>161</v>
      </c>
    </row>
    <row r="16" spans="1:5">
      <c r="A16" s="7" t="s">
        <v>63</v>
      </c>
      <c r="B16" s="7" t="s">
        <v>162</v>
      </c>
      <c r="C16" s="7" t="s">
        <v>163</v>
      </c>
      <c r="D16" s="7" t="s">
        <v>164</v>
      </c>
      <c r="E16" s="7" t="s">
        <v>165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5" outlineLevelCol="4"/>
  <cols>
    <col min="1" max="1" width="108" customWidth="1"/>
    <col min="2" max="2" width="48" customWidth="1"/>
    <col min="3" max="3" width="35" customWidth="1"/>
    <col min="4" max="4" width="52" customWidth="1"/>
    <col min="5" max="5" width="101" customWidth="1"/>
  </cols>
  <sheetData>
    <row r="1" ht="20.25" spans="1:5">
      <c r="A1" s="1" t="s">
        <v>166</v>
      </c>
    </row>
    <row r="2" spans="1:5">
      <c r="A2" s="2" t="s">
        <v>167</v>
      </c>
    </row>
    <row r="4" ht="28" customHeight="1" spans="1:5">
      <c r="A4" s="3" t="s">
        <v>67</v>
      </c>
      <c r="B4" s="3" t="s">
        <v>168</v>
      </c>
      <c r="C4" s="3" t="s">
        <v>169</v>
      </c>
      <c r="D4" s="3" t="s">
        <v>170</v>
      </c>
      <c r="E4" s="3" t="s">
        <v>171</v>
      </c>
    </row>
    <row r="5" spans="1:5">
      <c r="A5" s="4" t="s">
        <v>9</v>
      </c>
      <c r="B5" s="4" t="s">
        <v>172</v>
      </c>
      <c r="C5" s="4" t="s">
        <v>173</v>
      </c>
      <c r="D5" s="4" t="s">
        <v>174</v>
      </c>
      <c r="E5" s="4" t="s">
        <v>175</v>
      </c>
    </row>
    <row r="6" spans="1:5">
      <c r="A6" s="7" t="s">
        <v>33</v>
      </c>
      <c r="B6" s="7" t="s">
        <v>77</v>
      </c>
      <c r="C6" s="7" t="s">
        <v>77</v>
      </c>
      <c r="D6" s="7" t="s">
        <v>176</v>
      </c>
      <c r="E6" s="7" t="s">
        <v>177</v>
      </c>
    </row>
    <row r="7" spans="1:5">
      <c r="A7" s="4" t="s">
        <v>37</v>
      </c>
      <c r="B7" s="4" t="s">
        <v>117</v>
      </c>
      <c r="C7" s="4" t="s">
        <v>117</v>
      </c>
      <c r="D7" s="4" t="s">
        <v>178</v>
      </c>
      <c r="E7" s="4" t="s">
        <v>179</v>
      </c>
    </row>
    <row r="8" spans="1:5">
      <c r="A8" s="7" t="s">
        <v>39</v>
      </c>
      <c r="B8" s="7" t="s">
        <v>92</v>
      </c>
      <c r="C8" s="7" t="s">
        <v>92</v>
      </c>
      <c r="D8" s="7" t="s">
        <v>180</v>
      </c>
      <c r="E8" s="7" t="s">
        <v>181</v>
      </c>
    </row>
    <row r="9" spans="1:5">
      <c r="A9" s="4" t="s">
        <v>42</v>
      </c>
      <c r="B9" s="4" t="s">
        <v>182</v>
      </c>
      <c r="C9" s="4" t="s">
        <v>77</v>
      </c>
      <c r="D9" s="4" t="s">
        <v>183</v>
      </c>
      <c r="E9" s="4" t="s">
        <v>184</v>
      </c>
    </row>
    <row r="10" spans="1:5">
      <c r="A10" s="7" t="s">
        <v>45</v>
      </c>
      <c r="B10" s="7" t="s">
        <v>185</v>
      </c>
      <c r="C10" s="7" t="s">
        <v>186</v>
      </c>
      <c r="D10" s="7" t="s">
        <v>187</v>
      </c>
      <c r="E10" s="7" t="s">
        <v>188</v>
      </c>
    </row>
    <row r="11" spans="1:5">
      <c r="A11" s="4" t="s">
        <v>48</v>
      </c>
      <c r="B11" s="4" t="s">
        <v>189</v>
      </c>
      <c r="C11" s="4" t="s">
        <v>189</v>
      </c>
      <c r="D11" s="4" t="s">
        <v>190</v>
      </c>
      <c r="E11" s="4" t="s">
        <v>191</v>
      </c>
    </row>
    <row r="12" spans="1:5">
      <c r="A12" s="7" t="s">
        <v>51</v>
      </c>
      <c r="B12" s="7" t="s">
        <v>84</v>
      </c>
      <c r="C12" s="7" t="s">
        <v>84</v>
      </c>
      <c r="D12" s="7" t="s">
        <v>192</v>
      </c>
      <c r="E12" s="7" t="s">
        <v>193</v>
      </c>
    </row>
    <row r="13" spans="1:5">
      <c r="A13" s="4" t="s">
        <v>54</v>
      </c>
      <c r="B13" s="4" t="s">
        <v>108</v>
      </c>
      <c r="C13" s="4" t="s">
        <v>108</v>
      </c>
      <c r="D13" s="4" t="s">
        <v>194</v>
      </c>
      <c r="E13" s="4" t="s">
        <v>195</v>
      </c>
    </row>
    <row r="14" spans="1:5">
      <c r="A14" s="7" t="s">
        <v>56</v>
      </c>
      <c r="B14" s="7" t="s">
        <v>111</v>
      </c>
      <c r="C14" s="7" t="s">
        <v>111</v>
      </c>
      <c r="D14" s="7" t="s">
        <v>196</v>
      </c>
      <c r="E14" s="7" t="s">
        <v>197</v>
      </c>
    </row>
    <row r="15" spans="1:5">
      <c r="A15" s="4" t="s">
        <v>59</v>
      </c>
      <c r="B15" s="4" t="s">
        <v>115</v>
      </c>
      <c r="C15" s="4" t="s">
        <v>115</v>
      </c>
      <c r="D15" s="4" t="s">
        <v>115</v>
      </c>
      <c r="E15" s="4" t="s">
        <v>198</v>
      </c>
    </row>
    <row r="16" spans="1:5">
      <c r="A16" s="7" t="s">
        <v>63</v>
      </c>
      <c r="B16" s="7" t="s">
        <v>83</v>
      </c>
      <c r="C16" s="7" t="s">
        <v>83</v>
      </c>
      <c r="D16" s="7" t="s">
        <v>199</v>
      </c>
      <c r="E16" s="7" t="s">
        <v>200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cols>
    <col min="1" max="1" width="110" customWidth="1"/>
    <col min="2" max="2" width="46" customWidth="1"/>
    <col min="3" max="3" width="115" customWidth="1"/>
    <col min="4" max="4" width="109" customWidth="1"/>
    <col min="5" max="5" width="133" customWidth="1"/>
  </cols>
  <sheetData>
    <row r="1" ht="20.25" spans="1:5">
      <c r="A1" s="1" t="s">
        <v>201</v>
      </c>
    </row>
    <row r="2" spans="1:5">
      <c r="A2" s="2" t="s">
        <v>202</v>
      </c>
    </row>
    <row r="4" spans="1:5">
      <c r="A4" s="3" t="s">
        <v>67</v>
      </c>
      <c r="B4" s="3" t="s">
        <v>203</v>
      </c>
      <c r="C4" s="3" t="s">
        <v>204</v>
      </c>
      <c r="D4" s="3" t="s">
        <v>205</v>
      </c>
      <c r="E4" s="3" t="s">
        <v>206</v>
      </c>
    </row>
    <row r="5" spans="1:5">
      <c r="A5" s="4" t="s">
        <v>9</v>
      </c>
      <c r="B5" s="4" t="s">
        <v>207</v>
      </c>
      <c r="C5" s="4" t="s">
        <v>208</v>
      </c>
      <c r="D5" s="4" t="s">
        <v>209</v>
      </c>
      <c r="E5" s="4" t="s">
        <v>210</v>
      </c>
    </row>
    <row r="6" spans="1:5">
      <c r="A6" s="7" t="s">
        <v>48</v>
      </c>
      <c r="B6" s="7" t="s">
        <v>211</v>
      </c>
      <c r="C6" s="7" t="s">
        <v>212</v>
      </c>
      <c r="D6" s="7" t="s">
        <v>213</v>
      </c>
      <c r="E6" s="7" t="s">
        <v>214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5" outlineLevelCol="1"/>
  <cols>
    <col min="1" max="1" width="102" customWidth="1"/>
    <col min="2" max="2" width="256" customWidth="1"/>
  </cols>
  <sheetData>
    <row r="1" ht="20.25" spans="1:2">
      <c r="A1" s="1" t="s">
        <v>215</v>
      </c>
    </row>
    <row r="2" spans="1:2">
      <c r="A2" s="2" t="s">
        <v>216</v>
      </c>
    </row>
    <row r="4" ht="15.75" spans="1:2">
      <c r="A4" s="11" t="s">
        <v>217</v>
      </c>
    </row>
    <row r="5" spans="1:2">
      <c r="A5" s="12" t="s">
        <v>218</v>
      </c>
      <c r="B5" s="13">
        <v>65</v>
      </c>
    </row>
    <row r="6" spans="1:2">
      <c r="A6" s="12" t="s">
        <v>219</v>
      </c>
      <c r="B6" s="13" t="s">
        <v>5</v>
      </c>
    </row>
    <row r="7" spans="1:2">
      <c r="A7" s="12" t="s">
        <v>220</v>
      </c>
      <c r="B7" s="13">
        <v>60</v>
      </c>
    </row>
    <row r="8" spans="1:2">
      <c r="A8" s="12" t="s">
        <v>221</v>
      </c>
      <c r="B8" s="13">
        <v>1.5</v>
      </c>
    </row>
    <row r="10" ht="15.75" spans="1:2">
      <c r="A10" s="11" t="s">
        <v>222</v>
      </c>
    </row>
    <row r="11" spans="1:2">
      <c r="A11" s="12" t="s">
        <v>223</v>
      </c>
      <c r="B11" s="14">
        <f>ROUND(IF(B6="Nam",((140-B5)*B7)/(72*B8),((140-B5)*B7)/(72*B8)*0.85),1)</f>
        <v>41.7</v>
      </c>
    </row>
    <row r="12" spans="1:2">
      <c r="A12" s="12" t="s">
        <v>224</v>
      </c>
      <c r="B12" s="15" t="str">
        <f>IF(B11&gt;=90,"G1 - Chức năng thận bình thường hoặc tăng cao",IF(B11&gt;=60,"G2 - Suy giảm chức năng thận nhẹ",IF(B11&gt;=30,"G3 - Suy giảm chức năng thận vừa đến nặng",IF(B11&gt;=15,"G4 - Suy giảm chức năng thận nặng","G5 - Suy thận giai đoạn cuối"))))</f>
        <v>G3 - Suy giảm chức năng thận vừa đến nặng</v>
      </c>
    </row>
  </sheetData>
  <dataValidations count="1">
    <dataValidation type="list" allowBlank="1" sqref="B6">
      <formula1>"Nam,Nữ"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5" outlineLevelCol="6"/>
  <cols>
    <col min="1" max="1" width="74" customWidth="1"/>
    <col min="2" max="2" width="35" customWidth="1"/>
    <col min="3" max="3" width="56" customWidth="1"/>
    <col min="4" max="4" width="57" customWidth="1"/>
    <col min="5" max="5" width="17" customWidth="1"/>
    <col min="6" max="6" width="18" customWidth="1"/>
    <col min="7" max="7" width="76" customWidth="1"/>
  </cols>
  <sheetData>
    <row r="1" ht="20.25" spans="1:7">
      <c r="A1" s="1" t="s">
        <v>225</v>
      </c>
    </row>
    <row r="2" spans="1:7">
      <c r="A2" s="2" t="s">
        <v>226</v>
      </c>
    </row>
    <row r="4" ht="28" customHeight="1" spans="1:7">
      <c r="A4" s="3" t="s">
        <v>67</v>
      </c>
      <c r="B4" s="3" t="s">
        <v>227</v>
      </c>
      <c r="C4" s="3" t="s">
        <v>228</v>
      </c>
      <c r="D4" s="3" t="s">
        <v>229</v>
      </c>
      <c r="E4" s="3" t="s">
        <v>230</v>
      </c>
      <c r="F4" s="3" t="s">
        <v>75</v>
      </c>
      <c r="G4" s="3" t="s">
        <v>231</v>
      </c>
    </row>
    <row r="5" spans="1:7">
      <c r="A5" s="4" t="s">
        <v>9</v>
      </c>
      <c r="B5" s="4" t="s">
        <v>232</v>
      </c>
      <c r="C5" s="4" t="s">
        <v>233</v>
      </c>
      <c r="D5" s="4" t="s">
        <v>234</v>
      </c>
      <c r="E5" s="5" t="s">
        <v>235</v>
      </c>
      <c r="F5" s="6" t="s">
        <v>31</v>
      </c>
      <c r="G5" s="4" t="s">
        <v>236</v>
      </c>
    </row>
    <row r="6" spans="1:7">
      <c r="A6" s="7" t="s">
        <v>33</v>
      </c>
      <c r="B6" s="7" t="s">
        <v>237</v>
      </c>
      <c r="C6" s="7" t="s">
        <v>234</v>
      </c>
      <c r="D6" s="7" t="s">
        <v>238</v>
      </c>
      <c r="E6" s="8" t="s">
        <v>239</v>
      </c>
      <c r="F6" s="9" t="s">
        <v>35</v>
      </c>
      <c r="G6" s="7" t="s">
        <v>240</v>
      </c>
    </row>
    <row r="7" spans="1:7">
      <c r="A7" s="4" t="s">
        <v>37</v>
      </c>
      <c r="B7" s="4" t="s">
        <v>241</v>
      </c>
      <c r="C7" s="4" t="s">
        <v>234</v>
      </c>
      <c r="D7" s="4" t="s">
        <v>242</v>
      </c>
      <c r="E7" s="5" t="s">
        <v>239</v>
      </c>
      <c r="F7" s="6" t="s">
        <v>31</v>
      </c>
      <c r="G7" s="4" t="s">
        <v>243</v>
      </c>
    </row>
    <row r="8" spans="1:7">
      <c r="A8" s="7" t="s">
        <v>39</v>
      </c>
      <c r="B8" s="7" t="s">
        <v>241</v>
      </c>
      <c r="C8" s="7" t="s">
        <v>234</v>
      </c>
      <c r="D8" s="7" t="s">
        <v>244</v>
      </c>
      <c r="E8" s="8" t="s">
        <v>239</v>
      </c>
      <c r="F8" s="6" t="s">
        <v>31</v>
      </c>
      <c r="G8" s="7" t="s">
        <v>245</v>
      </c>
    </row>
    <row r="9" spans="1:7">
      <c r="A9" s="4" t="s">
        <v>42</v>
      </c>
      <c r="B9" s="4" t="s">
        <v>246</v>
      </c>
      <c r="C9" s="4" t="s">
        <v>234</v>
      </c>
      <c r="D9" s="4" t="s">
        <v>247</v>
      </c>
      <c r="E9" s="5" t="s">
        <v>239</v>
      </c>
      <c r="F9" s="9" t="s">
        <v>35</v>
      </c>
      <c r="G9" s="4" t="s">
        <v>248</v>
      </c>
    </row>
    <row r="10" spans="1:7">
      <c r="A10" s="7" t="s">
        <v>45</v>
      </c>
      <c r="B10" s="7" t="s">
        <v>246</v>
      </c>
      <c r="C10" s="7" t="s">
        <v>249</v>
      </c>
      <c r="D10" s="7" t="s">
        <v>250</v>
      </c>
      <c r="E10" s="8" t="s">
        <v>239</v>
      </c>
      <c r="F10" s="9" t="s">
        <v>35</v>
      </c>
      <c r="G10" s="7" t="s">
        <v>251</v>
      </c>
    </row>
    <row r="11" spans="1:7">
      <c r="A11" s="4" t="s">
        <v>48</v>
      </c>
      <c r="B11" s="4" t="s">
        <v>252</v>
      </c>
      <c r="C11" s="4" t="s">
        <v>253</v>
      </c>
      <c r="D11" s="4" t="s">
        <v>254</v>
      </c>
      <c r="E11" s="5" t="s">
        <v>235</v>
      </c>
      <c r="F11" s="6" t="s">
        <v>31</v>
      </c>
      <c r="G11" s="4" t="s">
        <v>255</v>
      </c>
    </row>
    <row r="12" spans="1:7">
      <c r="A12" s="7" t="s">
        <v>51</v>
      </c>
      <c r="B12" s="7" t="s">
        <v>246</v>
      </c>
      <c r="C12" s="7" t="s">
        <v>234</v>
      </c>
      <c r="D12" s="7" t="s">
        <v>256</v>
      </c>
      <c r="E12" s="8" t="s">
        <v>85</v>
      </c>
      <c r="F12" s="9" t="s">
        <v>35</v>
      </c>
      <c r="G12" s="7" t="s">
        <v>257</v>
      </c>
    </row>
    <row r="13" spans="1:7">
      <c r="A13" s="4" t="s">
        <v>54</v>
      </c>
      <c r="B13" s="4" t="s">
        <v>258</v>
      </c>
      <c r="C13" s="4" t="s">
        <v>259</v>
      </c>
      <c r="D13" s="4" t="s">
        <v>234</v>
      </c>
      <c r="E13" s="5" t="s">
        <v>85</v>
      </c>
      <c r="F13" s="9" t="s">
        <v>35</v>
      </c>
      <c r="G13" s="4" t="s">
        <v>260</v>
      </c>
    </row>
    <row r="14" spans="1:7">
      <c r="A14" s="7" t="s">
        <v>56</v>
      </c>
      <c r="B14" s="7" t="s">
        <v>252</v>
      </c>
      <c r="C14" s="7" t="s">
        <v>261</v>
      </c>
      <c r="D14" s="7" t="s">
        <v>262</v>
      </c>
      <c r="E14" s="8" t="s">
        <v>263</v>
      </c>
      <c r="F14" s="6" t="s">
        <v>31</v>
      </c>
      <c r="G14" s="7" t="s">
        <v>264</v>
      </c>
    </row>
    <row r="15" spans="1:7">
      <c r="A15" s="4" t="s">
        <v>59</v>
      </c>
      <c r="B15" s="4" t="s">
        <v>265</v>
      </c>
      <c r="C15" s="4" t="s">
        <v>85</v>
      </c>
      <c r="D15" s="4" t="s">
        <v>266</v>
      </c>
      <c r="E15" s="5" t="s">
        <v>85</v>
      </c>
      <c r="F15" s="10" t="s">
        <v>61</v>
      </c>
      <c r="G15" s="4" t="s">
        <v>267</v>
      </c>
    </row>
    <row r="16" spans="1:7">
      <c r="A16" s="7" t="s">
        <v>63</v>
      </c>
      <c r="B16" s="7" t="s">
        <v>234</v>
      </c>
      <c r="C16" s="7" t="s">
        <v>85</v>
      </c>
      <c r="D16" s="7" t="s">
        <v>247</v>
      </c>
      <c r="E16" s="8" t="s">
        <v>85</v>
      </c>
      <c r="F16" s="10" t="s">
        <v>61</v>
      </c>
      <c r="G16" s="7" t="s">
        <v>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Tra cứu tự động</vt:lpstr>
      <vt:lpstr>Danh mục kháng sinh</vt:lpstr>
      <vt:lpstr>Chỉnh liều theo chức năng thận</vt:lpstr>
      <vt:lpstr>Hemodialysis (HD)</vt:lpstr>
      <vt:lpstr>Lọc máu liên tục (CRRT)</vt:lpstr>
      <vt:lpstr>Giám sát nồng độ thuốc (TDM)</vt:lpstr>
      <vt:lpstr>Tính toán Cockcroft-Gault</vt:lpstr>
      <vt:lpstr>Cảnh báo dược lâm sàng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2026-06-22T02:59:00Z</dcterms:created>
  <dcterms:modified xsi:type="dcterms:W3CDTF">2026-06-23T07:28:23Z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14DC7AF0BCF448A88F7BE64B9E2DE66D_13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